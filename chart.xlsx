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b890cfc7307f97a/桌面/Profolio/CMU/"/>
    </mc:Choice>
  </mc:AlternateContent>
  <xr:revisionPtr revIDLastSave="314" documentId="11_F25DC773A252ABDACC10486489584B5E5ADE58E8" xr6:coauthVersionLast="47" xr6:coauthVersionMax="47" xr10:uidLastSave="{1F83583C-EEDC-4D54-805E-66FCA668272A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6" i="1" s="1"/>
  <c r="M9" i="1"/>
  <c r="N3" i="1" s="1"/>
  <c r="C24" i="1" l="1"/>
  <c r="C25" i="1"/>
  <c r="N4" i="1"/>
  <c r="N5" i="1"/>
  <c r="N6" i="1"/>
  <c r="N7" i="1"/>
  <c r="N8" i="1"/>
  <c r="N2" i="1"/>
</calcChain>
</file>

<file path=xl/sharedStrings.xml><?xml version="1.0" encoding="utf-8"?>
<sst xmlns="http://schemas.openxmlformats.org/spreadsheetml/2006/main" count="115" uniqueCount="43">
  <si>
    <t>總人數 
Total Population</t>
    <phoneticPr fontId="2" type="noConversion"/>
  </si>
  <si>
    <r>
      <rPr>
        <sz val="12"/>
        <color theme="1"/>
        <rFont val="微軟正黑體"/>
        <family val="2"/>
        <charset val="136"/>
      </rPr>
      <t>男</t>
    </r>
    <r>
      <rPr>
        <sz val="12"/>
        <color theme="1"/>
        <rFont val="Calibri"/>
        <family val="2"/>
      </rPr>
      <t xml:space="preserve"> (Male)</t>
    </r>
    <phoneticPr fontId="2" type="noConversion"/>
  </si>
  <si>
    <r>
      <rPr>
        <sz val="12"/>
        <color theme="1"/>
        <rFont val="微軟正黑體"/>
        <family val="2"/>
        <charset val="136"/>
      </rPr>
      <t>女</t>
    </r>
    <r>
      <rPr>
        <sz val="12"/>
        <color theme="1"/>
        <rFont val="Calibri"/>
        <family val="2"/>
      </rPr>
      <t xml:space="preserve"> (Female)</t>
    </r>
    <phoneticPr fontId="2" type="noConversion"/>
  </si>
  <si>
    <r>
      <rPr>
        <sz val="12"/>
        <color theme="1"/>
        <rFont val="微軟正黑體"/>
        <family val="2"/>
        <charset val="136"/>
      </rPr>
      <t>總和</t>
    </r>
    <r>
      <rPr>
        <sz val="12"/>
        <color theme="1"/>
        <rFont val="Calibri"/>
        <family val="2"/>
      </rPr>
      <t xml:space="preserve"> (Total)</t>
    </r>
    <phoneticPr fontId="2" type="noConversion"/>
  </si>
  <si>
    <t>人數</t>
  </si>
  <si>
    <t>人數
Number of people</t>
    <phoneticPr fontId="2" type="noConversion"/>
  </si>
  <si>
    <r>
      <t>18</t>
    </r>
    <r>
      <rPr>
        <sz val="12"/>
        <color theme="1"/>
        <rFont val="微軟正黑體"/>
        <family val="2"/>
        <charset val="136"/>
      </rPr>
      <t>歲以下</t>
    </r>
    <r>
      <rPr>
        <sz val="12"/>
        <color theme="1"/>
        <rFont val="Calibri"/>
        <family val="2"/>
      </rPr>
      <t xml:space="preserve">
Under 18</t>
    </r>
    <phoneticPr fontId="2" type="noConversion"/>
  </si>
  <si>
    <t>18~25</t>
    <phoneticPr fontId="2" type="noConversion"/>
  </si>
  <si>
    <t>26~35</t>
    <phoneticPr fontId="2" type="noConversion"/>
  </si>
  <si>
    <t>36~45</t>
    <phoneticPr fontId="2" type="noConversion"/>
  </si>
  <si>
    <t>46~55</t>
    <phoneticPr fontId="2" type="noConversion"/>
  </si>
  <si>
    <t>56~65</t>
    <phoneticPr fontId="2" type="noConversion"/>
  </si>
  <si>
    <r>
      <t>65</t>
    </r>
    <r>
      <rPr>
        <sz val="12"/>
        <color theme="1"/>
        <rFont val="微軟正黑體"/>
        <family val="2"/>
        <charset val="136"/>
      </rPr>
      <t>歲以上</t>
    </r>
    <r>
      <rPr>
        <sz val="12"/>
        <color theme="1"/>
        <rFont val="Calibri"/>
        <family val="2"/>
      </rPr>
      <t xml:space="preserve">
65 or above</t>
    </r>
    <phoneticPr fontId="2" type="noConversion"/>
  </si>
  <si>
    <r>
      <rPr>
        <sz val="12"/>
        <color theme="1"/>
        <rFont val="微軟正黑體"/>
        <family val="2"/>
        <charset val="136"/>
      </rPr>
      <t>是否為第一次到癌症大樓藥局領藥</t>
    </r>
    <r>
      <rPr>
        <sz val="12"/>
        <color theme="1"/>
        <rFont val="Calibri"/>
        <family val="2"/>
      </rPr>
      <t xml:space="preserve">
Is this your first time picking up medication at the Cancer Center Pharmacy?</t>
    </r>
    <phoneticPr fontId="2" type="noConversion"/>
  </si>
  <si>
    <r>
      <rPr>
        <sz val="12"/>
        <color theme="1"/>
        <rFont val="微軟正黑體"/>
        <family val="2"/>
        <charset val="136"/>
      </rPr>
      <t>是</t>
    </r>
    <r>
      <rPr>
        <sz val="12"/>
        <color theme="1"/>
        <rFont val="Calibri"/>
        <family val="2"/>
      </rPr>
      <t xml:space="preserve">
Yes</t>
    </r>
    <phoneticPr fontId="2" type="noConversion"/>
  </si>
  <si>
    <r>
      <rPr>
        <sz val="12"/>
        <color theme="1"/>
        <rFont val="微軟正黑體"/>
        <family val="2"/>
        <charset val="136"/>
      </rPr>
      <t>否</t>
    </r>
    <r>
      <rPr>
        <sz val="12"/>
        <color theme="1"/>
        <rFont val="Calibri"/>
        <family val="2"/>
      </rPr>
      <t xml:space="preserve">
No</t>
    </r>
    <phoneticPr fontId="2" type="noConversion"/>
  </si>
  <si>
    <t>未填答
N/A</t>
    <phoneticPr fontId="2" type="noConversion"/>
  </si>
  <si>
    <t>1.您對領藥動線安排之滿意程度</t>
  </si>
  <si>
    <t>程度</t>
  </si>
  <si>
    <t>非常滿意</t>
  </si>
  <si>
    <t>滿意</t>
  </si>
  <si>
    <t>普通</t>
  </si>
  <si>
    <t>不滿意</t>
  </si>
  <si>
    <t>非常不滿意</t>
  </si>
  <si>
    <t>2.您對領藥燈號顯示方式的滿意程度</t>
  </si>
  <si>
    <t>3.您對領藥燈號數量之滿意度</t>
  </si>
  <si>
    <t>4.您對候藥時間之滿意度</t>
  </si>
  <si>
    <t>5.您對候藥空間之滿意度</t>
  </si>
  <si>
    <t>6.您對排隊標語容易理解的程度</t>
  </si>
  <si>
    <t>7.您對排隊標語擺放位置是否合宜</t>
  </si>
  <si>
    <t>8.您覺得排隊宣導標語對指引民眾排隊有幫助</t>
  </si>
  <si>
    <t>9.您覺得志工能指引民眾排隊、維持秩序</t>
  </si>
  <si>
    <t>無填答</t>
  </si>
  <si>
    <t>10.您對這次領藥過程整體滿意度</t>
  </si>
  <si>
    <t>平均分數
Average Score</t>
    <phoneticPr fontId="2" type="noConversion"/>
  </si>
  <si>
    <t>前測
Pre-Test</t>
    <phoneticPr fontId="2" type="noConversion"/>
  </si>
  <si>
    <t>後測
Post-Test</t>
    <phoneticPr fontId="2" type="noConversion"/>
  </si>
  <si>
    <r>
      <t>3.</t>
    </r>
    <r>
      <rPr>
        <sz val="12"/>
        <color theme="1"/>
        <rFont val="微軟正黑體"/>
        <family val="2"/>
        <charset val="136"/>
      </rPr>
      <t xml:space="preserve">您對領藥燈號數量之滿意度
</t>
    </r>
    <r>
      <rPr>
        <sz val="12"/>
        <color theme="1"/>
        <rFont val="Calibri"/>
        <family val="2"/>
      </rPr>
      <t>Sufficient number of calling system displays in the area</t>
    </r>
    <phoneticPr fontId="2" type="noConversion"/>
  </si>
  <si>
    <r>
      <t>4.</t>
    </r>
    <r>
      <rPr>
        <sz val="12"/>
        <color theme="1"/>
        <rFont val="微軟正黑體"/>
        <family val="2"/>
        <charset val="136"/>
      </rPr>
      <t xml:space="preserve">您對候藥時間之滿意度
</t>
    </r>
    <r>
      <rPr>
        <sz val="12"/>
        <color theme="1"/>
        <rFont val="Calibri"/>
        <family val="2"/>
      </rPr>
      <t>4. Total waiting time to receive medication</t>
    </r>
    <phoneticPr fontId="2" type="noConversion"/>
  </si>
  <si>
    <t>10.您對這次領藥過程整體滿意度
10. Overall satisfaction with today’s medication pickup process</t>
    <phoneticPr fontId="2" type="noConversion"/>
  </si>
  <si>
    <t>總和
Total</t>
    <phoneticPr fontId="2" type="noConversion"/>
  </si>
  <si>
    <t>%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</si>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</sst>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PMingLiu"/>
      <family val="1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3" fillId="0" borderId="2" xfId="0" applyFont="1" applyFill="1" applyBorder="1" applyAlignment="1">
      <alignment horizontal="right" vertical="center" wrapText="1"/>
    </xf>
    <xf numFmtId="9" fontId="0" fillId="0" borderId="0" xfId="1" applyFont="1" applyAlignment="1"/>
    <xf numFmtId="9" fontId="0" fillId="0" borderId="0" xfId="0" applyNumberFormat="1"/>
    <xf numFmtId="0" fontId="3" fillId="0" borderId="0" xfId="0" applyFon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b="1"/>
              <a:t>總人數 
</a:t>
            </a:r>
            <a:r>
              <a:rPr lang="en-US" altLang="zh-TW" b="1"/>
              <a:t>Total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總人數 
Total 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Sheet1!$B$1:$D$1</c:f>
              <c:strCache>
                <c:ptCount val="3"/>
                <c:pt idx="0">
                  <c:v>男 (Male)</c:v>
                </c:pt>
                <c:pt idx="1">
                  <c:v>女 (Female)</c:v>
                </c:pt>
                <c:pt idx="2">
                  <c:v>總和 (Total)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45</c:v>
                </c:pt>
                <c:pt idx="1">
                  <c:v>55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D-46C8-AC34-6CF4B01CB8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16332093103752"/>
          <c:y val="0.87825541059915646"/>
          <c:w val="0.43778132439173029"/>
          <c:h val="6.0452236685369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b="1"/>
              <a:t>年齡分佈</a:t>
            </a:r>
            <a:endParaRPr lang="en-US" b="1"/>
          </a:p>
          <a:p>
            <a:pPr>
              <a:defRPr/>
            </a:pPr>
            <a:r>
              <a:rPr lang="en-US" b="1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人數
Number of people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D9488F0-220E-426D-9A44-88D3448D59C8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ABC27667-2524-4C17-9E60-EF33EC67503B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C88-4041-9F4C-16D6A8587E4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641837D-4E29-43F7-9319-E1825436044F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8F2E0D3B-58D8-4594-A7A6-C958A027D231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C88-4041-9F4C-16D6A8587E4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C87369-63CC-42C1-995D-94CB882CC855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A12D89B6-9427-40C3-8D0F-DA246F48569C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C88-4041-9F4C-16D6A8587E4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6DCD7D-2EFA-472E-A420-E6311E5A0FAF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DF6395D4-6844-4291-8037-C2550A5490A1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C88-4041-9F4C-16D6A8587E4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A72419-5637-46D7-A53A-96980343B19D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B940F6D7-891B-4601-BAB9-A03DCCF1755D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C88-4041-9F4C-16D6A8587E4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D660D9-48BC-4A1B-933D-0978E8CBF0D1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150BD3D4-ACBB-4FAB-82FE-C5B2AE11D7C7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C88-4041-9F4C-16D6A8587E4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152C852-F1E9-4FAD-A86C-8892AA13ACCD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7F832B94-83E0-4324-81BC-DE972041D37E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C88-4041-9F4C-16D6A8587E4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B2D8FA6-6F35-4DFB-80F5-2D17166459DF}" type="CELLRANGE">
                      <a:rPr lang="en-US" altLang="zh-TW"/>
                      <a:pPr/>
                      <a:t>[CELLRANGE]</a:t>
                    </a:fld>
                    <a:endParaRPr lang="en-US" altLang="zh-TW" baseline="0"/>
                  </a:p>
                  <a:p>
                    <a:fld id="{16340EBE-7FD6-4B28-A98B-CD7C24BB6747}" type="VALUE">
                      <a:rPr lang="en-US" altLang="zh-TW"/>
                      <a:pPr/>
                      <a:t>[VALUE]</a:t>
                    </a:fld>
                    <a:endParaRPr lang="zh-TW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C88-4041-9F4C-16D6A8587E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Sheet1!$L$2:$L$9</c:f>
              <c:strCache>
                <c:ptCount val="8"/>
                <c:pt idx="0">
                  <c:v>18歲以下
Under 18</c:v>
                </c:pt>
                <c:pt idx="1">
                  <c:v>18~25</c:v>
                </c:pt>
                <c:pt idx="2">
                  <c:v>26~35</c:v>
                </c:pt>
                <c:pt idx="3">
                  <c:v>36~45</c:v>
                </c:pt>
                <c:pt idx="4">
                  <c:v>46~55</c:v>
                </c:pt>
                <c:pt idx="5">
                  <c:v>56~65</c:v>
                </c:pt>
                <c:pt idx="6">
                  <c:v>65歲以上
65 or above</c:v>
                </c:pt>
                <c:pt idx="7">
                  <c:v>總和
Total</c:v>
                </c:pt>
              </c:strCache>
            </c:strRef>
          </c:cat>
          <c:val>
            <c:numRef>
              <c:f>Sheet1!$M$2:$M$9</c:f>
              <c:numCache>
                <c:formatCode>General</c:formatCode>
                <c:ptCount val="8"/>
                <c:pt idx="0">
                  <c:v>0</c:v>
                </c:pt>
                <c:pt idx="1">
                  <c:v>12</c:v>
                </c:pt>
                <c:pt idx="2">
                  <c:v>17</c:v>
                </c:pt>
                <c:pt idx="3">
                  <c:v>8</c:v>
                </c:pt>
                <c:pt idx="4">
                  <c:v>24</c:v>
                </c:pt>
                <c:pt idx="5">
                  <c:v>17</c:v>
                </c:pt>
                <c:pt idx="6">
                  <c:v>22</c:v>
                </c:pt>
                <c:pt idx="7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Sheet1!$N$2:$N$9</c15:f>
                <c15:dlblRangeCache>
                  <c:ptCount val="8"/>
                  <c:pt idx="0">
                    <c:v>0%</c:v>
                  </c:pt>
                  <c:pt idx="1">
                    <c:v>12%</c:v>
                  </c:pt>
                  <c:pt idx="2">
                    <c:v>17%</c:v>
                  </c:pt>
                  <c:pt idx="3">
                    <c:v>8%</c:v>
                  </c:pt>
                  <c:pt idx="4">
                    <c:v>24%</c:v>
                  </c:pt>
                  <c:pt idx="5">
                    <c:v>17%</c:v>
                  </c:pt>
                  <c:pt idx="6">
                    <c:v>22%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C88-4041-9F4C-16D6A8587E45}"/>
            </c:ext>
          </c:extLst>
        </c:ser>
        <c:ser>
          <c:idx val="1"/>
          <c:order val="1"/>
          <c:tx>
            <c:strRef>
              <c:f>Sheet1!$N$1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Sheet1!$L$2:$L$9</c:f>
              <c:strCache>
                <c:ptCount val="8"/>
                <c:pt idx="0">
                  <c:v>18歲以下
Under 18</c:v>
                </c:pt>
                <c:pt idx="1">
                  <c:v>18~25</c:v>
                </c:pt>
                <c:pt idx="2">
                  <c:v>26~35</c:v>
                </c:pt>
                <c:pt idx="3">
                  <c:v>36~45</c:v>
                </c:pt>
                <c:pt idx="4">
                  <c:v>46~55</c:v>
                </c:pt>
                <c:pt idx="5">
                  <c:v>56~65</c:v>
                </c:pt>
                <c:pt idx="6">
                  <c:v>65歲以上
65 or above</c:v>
                </c:pt>
                <c:pt idx="7">
                  <c:v>總和
Total</c:v>
                </c:pt>
              </c:strCache>
            </c:strRef>
          </c:cat>
          <c:val>
            <c:numRef>
              <c:f>Sheet1!$N$2:$N$9</c:f>
              <c:numCache>
                <c:formatCode>0%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0.17</c:v>
                </c:pt>
                <c:pt idx="3">
                  <c:v>0.08</c:v>
                </c:pt>
                <c:pt idx="4">
                  <c:v>0.24</c:v>
                </c:pt>
                <c:pt idx="5">
                  <c:v>0.17</c:v>
                </c:pt>
                <c:pt idx="6">
                  <c:v>0.22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8-4041-9F4C-16D6A8587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948816"/>
        <c:axId val="225950736"/>
      </c:barChart>
      <c:catAx>
        <c:axId val="2259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950736"/>
        <c:crosses val="autoZero"/>
        <c:auto val="1"/>
        <c:lblAlgn val="ctr"/>
        <c:lblOffset val="100"/>
        <c:noMultiLvlLbl val="0"/>
      </c:catAx>
      <c:valAx>
        <c:axId val="22595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9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b="1"/>
              <a:t>是否為第一次到癌症大樓藥局領藥</a:t>
            </a:r>
          </a:p>
          <a:p>
            <a:pPr>
              <a:defRPr/>
            </a:pPr>
            <a:r>
              <a:rPr lang="en-US" b="1"/>
              <a:t>Is this your first time picking up medication at the Cancer Center Pharmacy?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人數
Number of people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Sheet1!$A$24:$A$27</c:f>
              <c:strCache>
                <c:ptCount val="4"/>
                <c:pt idx="0">
                  <c:v>是
Yes</c:v>
                </c:pt>
                <c:pt idx="1">
                  <c:v>否
No</c:v>
                </c:pt>
                <c:pt idx="2">
                  <c:v>未填答
N/A</c:v>
                </c:pt>
                <c:pt idx="3">
                  <c:v>總和
Total</c:v>
                </c:pt>
              </c:strCache>
            </c:strRef>
          </c:cat>
          <c:val>
            <c:numRef>
              <c:f>Sheet1!$B$24:$B$27</c:f>
              <c:numCache>
                <c:formatCode>General</c:formatCode>
                <c:ptCount val="4"/>
                <c:pt idx="0">
                  <c:v>18</c:v>
                </c:pt>
                <c:pt idx="1">
                  <c:v>81</c:v>
                </c:pt>
                <c:pt idx="2">
                  <c:v>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9-4C8F-B2B9-5A34679E9644}"/>
            </c:ext>
          </c:extLst>
        </c:ser>
        <c:ser>
          <c:idx val="1"/>
          <c:order val="1"/>
          <c:tx>
            <c:strRef>
              <c:f>Sheet1!$C$23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Sheet1!$A$24:$A$27</c:f>
              <c:strCache>
                <c:ptCount val="4"/>
                <c:pt idx="0">
                  <c:v>是
Yes</c:v>
                </c:pt>
                <c:pt idx="1">
                  <c:v>否
No</c:v>
                </c:pt>
                <c:pt idx="2">
                  <c:v>未填答
N/A</c:v>
                </c:pt>
                <c:pt idx="3">
                  <c:v>總和
Total</c:v>
                </c:pt>
              </c:strCache>
            </c:strRef>
          </c:cat>
          <c:val>
            <c:numRef>
              <c:f>Sheet1!$C$24:$C$27</c:f>
              <c:numCache>
                <c:formatCode>0%</c:formatCode>
                <c:ptCount val="4"/>
                <c:pt idx="0">
                  <c:v>0.18</c:v>
                </c:pt>
                <c:pt idx="1">
                  <c:v>0.81</c:v>
                </c:pt>
                <c:pt idx="2">
                  <c:v>0.01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9-4C8F-B2B9-5A34679E96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9834240"/>
        <c:axId val="359830880"/>
      </c:barChart>
      <c:catAx>
        <c:axId val="3598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830880"/>
        <c:crosses val="autoZero"/>
        <c:auto val="1"/>
        <c:lblAlgn val="ctr"/>
        <c:lblOffset val="100"/>
        <c:noMultiLvlLbl val="0"/>
      </c:catAx>
      <c:valAx>
        <c:axId val="3598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8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b="1"/>
              <a:t>3.</a:t>
            </a:r>
            <a:r>
              <a:rPr lang="zh-TW" altLang="en-US" b="1"/>
              <a:t>您對領藥燈號數量之滿意度</a:t>
            </a:r>
          </a:p>
          <a:p>
            <a:pPr>
              <a:defRPr/>
            </a:pPr>
            <a:r>
              <a:rPr lang="en-US" altLang="zh-TW" b="1"/>
              <a:t>3. Sufficient number of calling system displays in the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Sheet2!$J$6</c:f>
              <c:strCache>
                <c:ptCount val="1"/>
                <c:pt idx="0">
                  <c:v>前測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Sheet2!$I$7</c:f>
              <c:strCache>
                <c:ptCount val="1"/>
                <c:pt idx="0">
                  <c:v>平均分數
Average Score</c:v>
                </c:pt>
              </c:strCache>
            </c:strRef>
          </c:cat>
          <c:val>
            <c:numRef>
              <c:f>Sheet2!$J$7</c:f>
              <c:numCache>
                <c:formatCode>General</c:formatCode>
                <c:ptCount val="1"/>
                <c:pt idx="0">
                  <c:v>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8-4F3E-B596-D368C34F64C2}"/>
            </c:ext>
          </c:extLst>
        </c:ser>
        <c:ser>
          <c:idx val="1"/>
          <c:order val="1"/>
          <c:tx>
            <c:strRef>
              <c:f>Sheet2!$K$6</c:f>
              <c:strCache>
                <c:ptCount val="1"/>
                <c:pt idx="0">
                  <c:v>後測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Sheet2!$I$7</c:f>
              <c:strCache>
                <c:ptCount val="1"/>
                <c:pt idx="0">
                  <c:v>平均分數
Average Score</c:v>
                </c:pt>
              </c:strCache>
            </c:strRef>
          </c:cat>
          <c:val>
            <c:numRef>
              <c:f>Sheet2!$K$7</c:f>
              <c:numCache>
                <c:formatCode>General</c:formatCode>
                <c:ptCount val="1"/>
                <c:pt idx="0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8-4F3E-B596-D368C34F64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300880"/>
        <c:axId val="49300400"/>
      </c:barChart>
      <c:catAx>
        <c:axId val="4930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9300400"/>
        <c:crosses val="autoZero"/>
        <c:auto val="1"/>
        <c:lblAlgn val="ctr"/>
        <c:lblOffset val="100"/>
        <c:noMultiLvlLbl val="0"/>
      </c:catAx>
      <c:valAx>
        <c:axId val="493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930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b="1"/>
              <a:t>4.</a:t>
            </a:r>
            <a:r>
              <a:rPr lang="zh-TW" altLang="en-US" b="1"/>
              <a:t>您對候藥時間之滿意度</a:t>
            </a:r>
          </a:p>
          <a:p>
            <a:pPr>
              <a:defRPr/>
            </a:pPr>
            <a:r>
              <a:rPr lang="en-US" altLang="zh-TW" b="1"/>
              <a:t>4. Total waiting time to receive medication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Sheet2!$J$11</c:f>
              <c:strCache>
                <c:ptCount val="1"/>
                <c:pt idx="0">
                  <c:v>前測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Sheet2!$I$12</c:f>
              <c:strCache>
                <c:ptCount val="1"/>
                <c:pt idx="0">
                  <c:v>平均分數
Average Score</c:v>
                </c:pt>
              </c:strCache>
            </c:strRef>
          </c:cat>
          <c:val>
            <c:numRef>
              <c:f>Sheet2!$J$12</c:f>
              <c:numCache>
                <c:formatCode>General</c:formatCode>
                <c:ptCount val="1"/>
                <c:pt idx="0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F-45ED-A264-2009FF347459}"/>
            </c:ext>
          </c:extLst>
        </c:ser>
        <c:ser>
          <c:idx val="1"/>
          <c:order val="1"/>
          <c:tx>
            <c:strRef>
              <c:f>Sheet2!$K$11</c:f>
              <c:strCache>
                <c:ptCount val="1"/>
                <c:pt idx="0">
                  <c:v>後測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Sheet2!$I$12</c:f>
              <c:strCache>
                <c:ptCount val="1"/>
                <c:pt idx="0">
                  <c:v>平均分數
Average Score</c:v>
                </c:pt>
              </c:strCache>
            </c:strRef>
          </c:cat>
          <c:val>
            <c:numRef>
              <c:f>Sheet2!$K$12</c:f>
              <c:numCache>
                <c:formatCode>General</c:formatCode>
                <c:ptCount val="1"/>
                <c:pt idx="0">
                  <c:v>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F-45ED-A264-2009FF3474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67856"/>
        <c:axId val="47368336"/>
      </c:barChart>
      <c:catAx>
        <c:axId val="4736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68336"/>
        <c:crosses val="autoZero"/>
        <c:auto val="1"/>
        <c:lblAlgn val="ctr"/>
        <c:lblOffset val="100"/>
        <c:noMultiLvlLbl val="0"/>
      </c:catAx>
      <c:valAx>
        <c:axId val="473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6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b="1"/>
              <a:t>10.</a:t>
            </a:r>
            <a:r>
              <a:rPr lang="zh-TW" altLang="en-US" b="1"/>
              <a:t>您對這次領藥過程整體滿意度</a:t>
            </a:r>
          </a:p>
          <a:p>
            <a:pPr>
              <a:defRPr/>
            </a:pPr>
            <a:r>
              <a:rPr lang="en-US" altLang="zh-TW" b="1"/>
              <a:t>10. Overall satisfaction with today’s medication pickup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Sheet2!$J$19</c:f>
              <c:strCache>
                <c:ptCount val="1"/>
                <c:pt idx="0">
                  <c:v>前測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Sheet2!$I$20</c:f>
              <c:strCache>
                <c:ptCount val="1"/>
                <c:pt idx="0">
                  <c:v>平均分數
Average Score</c:v>
                </c:pt>
              </c:strCache>
            </c:strRef>
          </c:cat>
          <c:val>
            <c:numRef>
              <c:f>Sheet2!$J$20</c:f>
              <c:numCache>
                <c:formatCode>General</c:formatCode>
                <c:ptCount val="1"/>
                <c:pt idx="0">
                  <c:v>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B-4EB9-BE7B-2D087A622528}"/>
            </c:ext>
          </c:extLst>
        </c:ser>
        <c:ser>
          <c:idx val="1"/>
          <c:order val="1"/>
          <c:tx>
            <c:strRef>
              <c:f>Sheet2!$K$19</c:f>
              <c:strCache>
                <c:ptCount val="1"/>
                <c:pt idx="0">
                  <c:v>後測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Sheet2!$I$20</c:f>
              <c:strCache>
                <c:ptCount val="1"/>
                <c:pt idx="0">
                  <c:v>平均分數
Average Score</c:v>
                </c:pt>
              </c:strCache>
            </c:strRef>
          </c:cat>
          <c:val>
            <c:numRef>
              <c:f>Sheet2!$K$20</c:f>
              <c:numCache>
                <c:formatCode>General</c:formatCode>
                <c:ptCount val="1"/>
                <c:pt idx="0">
                  <c:v>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B-4EB9-BE7B-2D087A6225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5330448"/>
        <c:axId val="225327568"/>
      </c:barChart>
      <c:catAx>
        <c:axId val="2253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327568"/>
        <c:crosses val="autoZero"/>
        <c:auto val="1"/>
        <c:lblAlgn val="ctr"/>
        <c:lblOffset val="100"/>
        <c:noMultiLvlLbl val="0"/>
      </c:catAx>
      <c:valAx>
        <c:axId val="2253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33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3</xdr:row>
      <xdr:rowOff>82551</xdr:rowOff>
    </xdr:from>
    <xdr:to>
      <xdr:col>10</xdr:col>
      <xdr:colOff>146050</xdr:colOff>
      <xdr:row>17</xdr:row>
      <xdr:rowOff>139701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F884FC-6E33-5EF5-8981-8EBADD2DA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355600</xdr:colOff>
      <xdr:row>0</xdr:row>
      <xdr:rowOff>489858</xdr:rowOff>
    </xdr:from>
    <xdr:to>
      <xdr:col>27</xdr:col>
      <xdr:colOff>362857</xdr:colOff>
      <xdr:row>13</xdr:row>
      <xdr:rowOff>90715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EF91230-72E4-2F53-B230-C51BDE11E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22</xdr:row>
      <xdr:rowOff>450850</xdr:rowOff>
    </xdr:from>
    <xdr:to>
      <xdr:col>16</xdr:col>
      <xdr:colOff>308429</xdr:colOff>
      <xdr:row>26</xdr:row>
      <xdr:rowOff>9072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B5DCD2D-3F89-3E92-B52C-62510B212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425450</xdr:colOff>
      <xdr:row>3</xdr:row>
      <xdr:rowOff>92075</xdr:rowOff>
    </xdr:from>
    <xdr:to>
      <xdr:col>23</xdr:col>
      <xdr:colOff>354610</xdr:colOff>
      <xdr:row>6</xdr:row>
      <xdr:rowOff>700974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1AC711-2BE4-5F82-DD13-0B9579538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6596</xdr:colOff>
      <xdr:row>8</xdr:row>
      <xdr:rowOff>158173</xdr:rowOff>
    </xdr:from>
    <xdr:to>
      <xdr:col>25</xdr:col>
      <xdr:colOff>371104</xdr:colOff>
      <xdr:row>16</xdr:row>
      <xdr:rowOff>131947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5D764B-6791-B32E-C8FE-E55FA5C50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113805</xdr:colOff>
      <xdr:row>18</xdr:row>
      <xdr:rowOff>595250</xdr:rowOff>
    </xdr:from>
    <xdr:to>
      <xdr:col>26</xdr:col>
      <xdr:colOff>49479</xdr:colOff>
      <xdr:row>22</xdr:row>
      <xdr:rowOff>700974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785EC6-D6F1-3787-02A1-6E031E43B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tabSelected="1" topLeftCell="A23" zoomScale="71" zoomScaleNormal="71" workbookViewId="0">
      <selection activeCell="F30" sqref="F30"/>
    </sheetView>
  </sheetViews>
  <sheetFormatPr defaultRowHeight="14.5"/>
  <cols>
    <col min="3" max="3" width="8.09765625" bestFit="1" customWidth="1"/>
  </cols>
  <sheetData>
    <row r="1" spans="1:31" ht="62.5" thickBot="1">
      <c r="A1" s="1"/>
      <c r="B1" s="4" t="s">
        <v>1</v>
      </c>
      <c r="C1" s="4" t="s">
        <v>2</v>
      </c>
      <c r="D1" s="4" t="s">
        <v>3</v>
      </c>
      <c r="M1" s="5" t="s">
        <v>5</v>
      </c>
      <c r="N1" t="s">
        <v>41</v>
      </c>
    </row>
    <row r="2" spans="1:31" ht="68.5" thickBot="1">
      <c r="A2" s="2" t="s">
        <v>0</v>
      </c>
      <c r="B2" s="3">
        <v>45</v>
      </c>
      <c r="C2" s="3">
        <v>55</v>
      </c>
      <c r="D2" s="3">
        <v>100</v>
      </c>
      <c r="L2" s="1" t="s">
        <v>6</v>
      </c>
      <c r="M2" s="1">
        <v>0</v>
      </c>
      <c r="N2" s="10">
        <f>M2/M9</f>
        <v>0</v>
      </c>
    </row>
    <row r="3" spans="1:31" ht="16" thickBot="1">
      <c r="L3" s="1" t="s">
        <v>7</v>
      </c>
      <c r="M3" s="3">
        <v>12</v>
      </c>
      <c r="N3" s="10">
        <f>M3/M9</f>
        <v>0.12</v>
      </c>
    </row>
    <row r="4" spans="1:31" ht="16" thickBot="1">
      <c r="L4" s="1" t="s">
        <v>8</v>
      </c>
      <c r="M4" s="3">
        <v>17</v>
      </c>
      <c r="N4" s="10">
        <f>M4/M9</f>
        <v>0.17</v>
      </c>
    </row>
    <row r="5" spans="1:31" ht="16" thickBot="1">
      <c r="L5" s="1" t="s">
        <v>9</v>
      </c>
      <c r="M5" s="3">
        <v>8</v>
      </c>
      <c r="N5" s="10">
        <f>M5/M9</f>
        <v>0.08</v>
      </c>
    </row>
    <row r="6" spans="1:31" ht="16" thickBot="1">
      <c r="L6" s="1" t="s">
        <v>10</v>
      </c>
      <c r="M6" s="3">
        <v>24</v>
      </c>
      <c r="N6" s="10">
        <f>M6/M9</f>
        <v>0.24</v>
      </c>
    </row>
    <row r="7" spans="1:31" ht="16" thickBot="1">
      <c r="L7" s="1" t="s">
        <v>11</v>
      </c>
      <c r="M7" s="3">
        <v>17</v>
      </c>
      <c r="N7" s="10">
        <f>M7/M9</f>
        <v>0.17</v>
      </c>
    </row>
    <row r="8" spans="1:31" ht="62.5" thickBot="1">
      <c r="L8" s="1" t="s">
        <v>12</v>
      </c>
      <c r="M8" s="3">
        <v>22</v>
      </c>
      <c r="N8" s="10">
        <f>M8/M9</f>
        <v>0.22</v>
      </c>
      <c r="AE8" t="s">
        <v>42</v>
      </c>
    </row>
    <row r="9" spans="1:31" ht="29">
      <c r="L9" s="8" t="s">
        <v>40</v>
      </c>
      <c r="M9" s="9">
        <f>SUM(M2:M8)</f>
        <v>100</v>
      </c>
      <c r="N9" s="11">
        <v>1</v>
      </c>
    </row>
    <row r="22" spans="1:3" ht="15" thickBot="1"/>
    <row r="23" spans="1:3" ht="279.5" thickBot="1">
      <c r="A23" s="4" t="s">
        <v>13</v>
      </c>
      <c r="B23" s="5" t="s">
        <v>5</v>
      </c>
      <c r="C23" t="s">
        <v>41</v>
      </c>
    </row>
    <row r="24" spans="1:3" ht="31.5" thickBot="1">
      <c r="A24" s="4" t="s">
        <v>14</v>
      </c>
      <c r="B24" s="3">
        <v>18</v>
      </c>
      <c r="C24" s="10">
        <f>B24/B27</f>
        <v>0.18</v>
      </c>
    </row>
    <row r="25" spans="1:3" ht="31.5" thickBot="1">
      <c r="A25" s="4" t="s">
        <v>15</v>
      </c>
      <c r="B25" s="3">
        <v>81</v>
      </c>
      <c r="C25" s="10">
        <f>B25/B27</f>
        <v>0.81</v>
      </c>
    </row>
    <row r="26" spans="1:3" ht="31.5" thickBot="1">
      <c r="A26" s="5" t="s">
        <v>16</v>
      </c>
      <c r="B26" s="3">
        <v>1</v>
      </c>
      <c r="C26" s="10">
        <f>B26/B27</f>
        <v>0.01</v>
      </c>
    </row>
    <row r="27" spans="1:3" ht="29">
      <c r="A27" s="8" t="s">
        <v>40</v>
      </c>
      <c r="B27" s="12">
        <f>SUM(B24:B26)</f>
        <v>100</v>
      </c>
      <c r="C27" s="10">
        <v>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74C4-80AF-4391-BFDD-B7F072D76C1D}">
  <dimension ref="A1:K41"/>
  <sheetViews>
    <sheetView topLeftCell="A4" zoomScale="77" zoomScaleNormal="77" workbookViewId="0">
      <selection activeCell="R2" sqref="R2"/>
    </sheetView>
  </sheetViews>
  <sheetFormatPr defaultRowHeight="14.5"/>
  <cols>
    <col min="6" max="6" width="13.69921875" bestFit="1" customWidth="1"/>
  </cols>
  <sheetData>
    <row r="1" spans="1:11" ht="15" thickBot="1"/>
    <row r="2" spans="1:11" ht="78" thickBot="1">
      <c r="A2" s="1" t="s">
        <v>17</v>
      </c>
      <c r="B2" s="1"/>
      <c r="C2" s="1"/>
      <c r="D2" s="1"/>
      <c r="E2" s="1"/>
      <c r="F2" s="1"/>
    </row>
    <row r="3" spans="1:11" ht="31.5" thickBot="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6" t="s">
        <v>23</v>
      </c>
    </row>
    <row r="4" spans="1:11" ht="16" thickBot="1">
      <c r="A4" s="1" t="s">
        <v>4</v>
      </c>
      <c r="B4" s="3">
        <v>22</v>
      </c>
      <c r="C4" s="3">
        <v>19</v>
      </c>
      <c r="D4" s="3">
        <v>7</v>
      </c>
      <c r="E4" s="3">
        <v>2</v>
      </c>
      <c r="F4" s="1">
        <v>0</v>
      </c>
    </row>
    <row r="5" spans="1:11" ht="15" thickBot="1"/>
    <row r="6" spans="1:11" ht="217.5" thickBot="1">
      <c r="I6" s="1" t="s">
        <v>37</v>
      </c>
      <c r="J6" s="8" t="s">
        <v>35</v>
      </c>
      <c r="K6" s="8" t="s">
        <v>36</v>
      </c>
    </row>
    <row r="7" spans="1:11" ht="93.5" thickBot="1">
      <c r="A7" s="1" t="s">
        <v>24</v>
      </c>
      <c r="B7" s="1"/>
      <c r="C7" s="1"/>
      <c r="D7" s="1"/>
      <c r="E7" s="1"/>
      <c r="F7" s="1"/>
      <c r="I7" s="8" t="s">
        <v>34</v>
      </c>
      <c r="J7">
        <v>3.98</v>
      </c>
      <c r="K7">
        <v>4.2</v>
      </c>
    </row>
    <row r="8" spans="1:11" ht="31.5" thickBot="1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6" t="s">
        <v>23</v>
      </c>
    </row>
    <row r="9" spans="1:11" ht="16" thickBot="1">
      <c r="A9" s="1" t="s">
        <v>4</v>
      </c>
      <c r="B9" s="3">
        <v>21</v>
      </c>
      <c r="C9" s="3">
        <v>20</v>
      </c>
      <c r="D9" s="3">
        <v>6</v>
      </c>
      <c r="E9" s="3">
        <v>3</v>
      </c>
      <c r="F9" s="1">
        <v>0</v>
      </c>
    </row>
    <row r="10" spans="1:11" ht="15" thickBot="1"/>
    <row r="11" spans="1:11" ht="155.5" thickBot="1">
      <c r="A11" s="1" t="s">
        <v>25</v>
      </c>
      <c r="B11" s="1"/>
      <c r="C11" s="1"/>
      <c r="D11" s="1"/>
      <c r="E11" s="1"/>
      <c r="F11" s="1"/>
      <c r="I11" s="1" t="s">
        <v>38</v>
      </c>
      <c r="J11" s="8" t="s">
        <v>35</v>
      </c>
      <c r="K11" s="8" t="s">
        <v>36</v>
      </c>
    </row>
    <row r="12" spans="1:11" ht="58.5" thickBot="1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6" t="s">
        <v>23</v>
      </c>
      <c r="I12" s="8" t="s">
        <v>34</v>
      </c>
      <c r="J12">
        <v>3.78</v>
      </c>
      <c r="K12">
        <v>3.98</v>
      </c>
    </row>
    <row r="13" spans="1:11" ht="16" thickBot="1">
      <c r="A13" s="1" t="s">
        <v>4</v>
      </c>
      <c r="B13" s="3">
        <v>18</v>
      </c>
      <c r="C13" s="3">
        <v>17</v>
      </c>
      <c r="D13" s="3">
        <v>11</v>
      </c>
      <c r="E13" s="3">
        <v>4</v>
      </c>
      <c r="F13" s="1">
        <v>0</v>
      </c>
    </row>
    <row r="14" spans="1:11" ht="15" thickBot="1"/>
    <row r="15" spans="1:11" ht="62.5" thickBot="1">
      <c r="A15" s="1" t="s">
        <v>26</v>
      </c>
      <c r="B15" s="1"/>
      <c r="C15" s="1"/>
      <c r="D15" s="1"/>
      <c r="E15" s="1"/>
      <c r="F15" s="1"/>
    </row>
    <row r="16" spans="1:11" ht="31.5" thickBot="1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22</v>
      </c>
      <c r="F16" s="6" t="s">
        <v>23</v>
      </c>
    </row>
    <row r="17" spans="1:11" ht="16" thickBot="1">
      <c r="A17" s="1" t="s">
        <v>4</v>
      </c>
      <c r="B17" s="3">
        <v>14</v>
      </c>
      <c r="C17" s="3">
        <v>20</v>
      </c>
      <c r="D17" s="3">
        <v>10</v>
      </c>
      <c r="E17" s="3">
        <v>4</v>
      </c>
      <c r="F17" s="3">
        <v>2</v>
      </c>
    </row>
    <row r="18" spans="1:11" ht="15" thickBot="1"/>
    <row r="19" spans="1:11" ht="255.5" thickBot="1">
      <c r="A19" s="1" t="s">
        <v>27</v>
      </c>
      <c r="B19" s="1"/>
      <c r="C19" s="1"/>
      <c r="D19" s="1"/>
      <c r="E19" s="1"/>
      <c r="F19" s="1"/>
      <c r="I19" s="2" t="s">
        <v>39</v>
      </c>
      <c r="J19" s="8" t="s">
        <v>35</v>
      </c>
      <c r="K19" s="8" t="s">
        <v>36</v>
      </c>
    </row>
    <row r="20" spans="1:11" ht="58.5" thickBot="1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6" t="s">
        <v>23</v>
      </c>
      <c r="I20" s="8" t="s">
        <v>34</v>
      </c>
      <c r="J20">
        <v>4.18</v>
      </c>
      <c r="K20">
        <v>4.32</v>
      </c>
    </row>
    <row r="21" spans="1:11" ht="17.5" thickBot="1">
      <c r="A21" s="2" t="s">
        <v>4</v>
      </c>
      <c r="B21" s="3">
        <v>19</v>
      </c>
      <c r="C21" s="3">
        <v>22</v>
      </c>
      <c r="D21" s="3">
        <v>8</v>
      </c>
      <c r="E21" s="3">
        <v>2</v>
      </c>
      <c r="F21" s="3">
        <v>1</v>
      </c>
    </row>
    <row r="22" spans="1:11" ht="15" thickBot="1"/>
    <row r="23" spans="1:11" ht="78" thickBot="1">
      <c r="A23" s="1" t="s">
        <v>28</v>
      </c>
      <c r="B23" s="1"/>
      <c r="C23" s="1"/>
      <c r="D23" s="1"/>
      <c r="E23" s="1"/>
      <c r="F23" s="1"/>
    </row>
    <row r="24" spans="1:11" ht="31.5" thickBot="1">
      <c r="A24" s="1" t="s">
        <v>18</v>
      </c>
      <c r="B24" s="1" t="s">
        <v>19</v>
      </c>
      <c r="C24" s="1" t="s">
        <v>20</v>
      </c>
      <c r="D24" s="1" t="s">
        <v>21</v>
      </c>
      <c r="E24" s="1" t="s">
        <v>22</v>
      </c>
      <c r="F24" s="6" t="s">
        <v>23</v>
      </c>
    </row>
    <row r="25" spans="1:11" ht="16" thickBot="1">
      <c r="A25" s="1" t="s">
        <v>4</v>
      </c>
      <c r="B25" s="3">
        <v>20</v>
      </c>
      <c r="C25" s="3">
        <v>25</v>
      </c>
      <c r="D25" s="3">
        <v>4</v>
      </c>
      <c r="E25" s="3">
        <v>1</v>
      </c>
      <c r="F25" s="1">
        <v>0</v>
      </c>
    </row>
    <row r="26" spans="1:11" ht="15" thickBot="1"/>
    <row r="27" spans="1:11" ht="78" thickBot="1">
      <c r="A27" s="1" t="s">
        <v>29</v>
      </c>
      <c r="B27" s="1"/>
      <c r="C27" s="1"/>
      <c r="D27" s="1"/>
      <c r="E27" s="1"/>
      <c r="F27" s="1"/>
    </row>
    <row r="28" spans="1:11" ht="31.5" thickBot="1">
      <c r="A28" s="1" t="s">
        <v>18</v>
      </c>
      <c r="B28" s="1" t="s">
        <v>19</v>
      </c>
      <c r="C28" s="1" t="s">
        <v>20</v>
      </c>
      <c r="D28" s="1" t="s">
        <v>21</v>
      </c>
      <c r="E28" s="1" t="s">
        <v>22</v>
      </c>
      <c r="F28" s="6" t="s">
        <v>23</v>
      </c>
    </row>
    <row r="29" spans="1:11" ht="16" thickBot="1">
      <c r="A29" s="1" t="s">
        <v>4</v>
      </c>
      <c r="B29" s="3">
        <v>20</v>
      </c>
      <c r="C29" s="3">
        <v>24</v>
      </c>
      <c r="D29" s="3">
        <v>4</v>
      </c>
      <c r="E29" s="3">
        <v>2</v>
      </c>
      <c r="F29" s="1">
        <v>0</v>
      </c>
    </row>
    <row r="30" spans="1:11" ht="15" thickBot="1"/>
    <row r="31" spans="1:11" ht="16" thickBot="1">
      <c r="A31" s="6" t="s">
        <v>30</v>
      </c>
      <c r="B31" s="1"/>
      <c r="C31" s="1"/>
      <c r="D31" s="1"/>
      <c r="E31" s="1"/>
      <c r="F31" s="1"/>
    </row>
    <row r="32" spans="1:11" ht="31.5" thickBot="1">
      <c r="A32" s="1" t="s">
        <v>18</v>
      </c>
      <c r="B32" s="1" t="s">
        <v>19</v>
      </c>
      <c r="C32" s="1" t="s">
        <v>20</v>
      </c>
      <c r="D32" s="1" t="s">
        <v>21</v>
      </c>
      <c r="E32" s="1" t="s">
        <v>22</v>
      </c>
      <c r="F32" s="6" t="s">
        <v>23</v>
      </c>
    </row>
    <row r="33" spans="1:7" ht="16" thickBot="1">
      <c r="A33" s="1" t="s">
        <v>4</v>
      </c>
      <c r="B33" s="3">
        <v>21</v>
      </c>
      <c r="C33" s="3">
        <v>24</v>
      </c>
      <c r="D33" s="3">
        <v>4</v>
      </c>
      <c r="E33" s="3">
        <v>1</v>
      </c>
      <c r="F33" s="1">
        <v>0</v>
      </c>
    </row>
    <row r="34" spans="1:7" ht="15" thickBot="1"/>
    <row r="35" spans="1:7" ht="16" thickBot="1">
      <c r="A35" s="6" t="s">
        <v>31</v>
      </c>
      <c r="B35" s="1"/>
      <c r="C35" s="1"/>
      <c r="D35" s="1"/>
      <c r="E35" s="1"/>
      <c r="F35" s="1"/>
      <c r="G35" s="1"/>
    </row>
    <row r="36" spans="1:7" ht="31.5" thickBot="1">
      <c r="A36" s="1" t="s">
        <v>18</v>
      </c>
      <c r="B36" s="1" t="s">
        <v>19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32</v>
      </c>
    </row>
    <row r="37" spans="1:7" ht="16" thickBot="1">
      <c r="A37" s="1" t="s">
        <v>4</v>
      </c>
      <c r="B37" s="3">
        <v>25</v>
      </c>
      <c r="C37" s="3">
        <v>22</v>
      </c>
      <c r="D37" s="3">
        <v>2</v>
      </c>
      <c r="E37" s="1">
        <v>0</v>
      </c>
      <c r="F37" s="1">
        <v>0</v>
      </c>
      <c r="G37" s="3">
        <v>1</v>
      </c>
    </row>
    <row r="38" spans="1:7" ht="15" thickBot="1"/>
    <row r="39" spans="1:7" ht="85.5" thickBot="1">
      <c r="A39" s="2" t="s">
        <v>33</v>
      </c>
      <c r="B39" s="1"/>
      <c r="C39" s="1"/>
      <c r="D39" s="1"/>
      <c r="E39" s="1"/>
      <c r="F39" s="1"/>
    </row>
    <row r="40" spans="1:7" ht="34.5" thickBot="1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22</v>
      </c>
      <c r="F40" s="7" t="s">
        <v>23</v>
      </c>
    </row>
    <row r="41" spans="1:7" ht="16" thickBot="1">
      <c r="A41" s="1" t="s">
        <v>4</v>
      </c>
      <c r="B41" s="3">
        <v>19</v>
      </c>
      <c r="C41" s="3">
        <v>22</v>
      </c>
      <c r="D41" s="3">
        <v>8</v>
      </c>
      <c r="E41" s="3">
        <v>1</v>
      </c>
      <c r="F41" s="1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Wang</dc:creator>
  <cp:lastModifiedBy>Stella Wang</cp:lastModifiedBy>
  <dcterms:created xsi:type="dcterms:W3CDTF">2015-06-05T18:17:20Z</dcterms:created>
  <dcterms:modified xsi:type="dcterms:W3CDTF">2025-12-23T00:07:30Z</dcterms:modified>
</cp:coreProperties>
</file>